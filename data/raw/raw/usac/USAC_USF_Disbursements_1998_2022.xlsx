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F Disbur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&quot;-&quot;"/>
    <numFmt numFmtId="165" formatCode="0.0%;(0.0%);&quot;-&quot;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 indent="1"/>
    </xf>
    <xf numFmtId="0" fontId="6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SF_Disbursements" displayName="USF_Disbursements" ref="B5:I30" headerRowCount="1">
  <autoFilter ref="B5:I30"/>
  <tableColumns count="8">
    <tableColumn id="2" name="Year"/>
    <tableColumn id="3" name="High Cost ($M)"/>
    <tableColumn id="4" name="Lifeline ($M)"/>
    <tableColumn id="5" name="E-Rate / S&amp;L ($M)"/>
    <tableColumn id="6" name="Rural Health Care ($M)"/>
    <tableColumn id="7" name="Total USF ($M)"/>
    <tableColumn id="8" name="YoY Growth (%)"/>
    <tableColumn id="9" name="Source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6" customWidth="1" min="4" max="4"/>
    <col width="22" customWidth="1" min="5" max="5"/>
    <col width="24" customWidth="1" min="6" max="6"/>
    <col width="18" customWidth="1" min="7" max="7"/>
    <col width="16" customWidth="1" min="8" max="8"/>
    <col width="32" customWidth="1" min="9" max="9"/>
  </cols>
  <sheetData>
    <row r="2" ht="28" customHeight="1">
      <c r="B2" s="1" t="inlineStr">
        <is>
          <t>USAC Universal Service Fund — Authorized Disbursed Support</t>
        </is>
      </c>
    </row>
    <row r="3" ht="16" customHeight="1">
      <c r="B3" s="2" t="inlineStr">
        <is>
          <t>Calendar Years 1998–2022  |  All values in $M  |  Corrected against official USAC Annual Reports &amp; Lifeline Data and Statistics xlsx</t>
        </is>
      </c>
    </row>
    <row r="5" ht="22" customHeight="1">
      <c r="B5" s="3" t="inlineStr">
        <is>
          <t>Year</t>
        </is>
      </c>
      <c r="C5" s="3" t="inlineStr">
        <is>
          <t>High Cost ($M)</t>
        </is>
      </c>
      <c r="D5" s="3" t="inlineStr">
        <is>
          <t>Lifeline ($M)</t>
        </is>
      </c>
      <c r="E5" s="3" t="inlineStr">
        <is>
          <t>E-Rate / S&amp;L ($M)</t>
        </is>
      </c>
      <c r="F5" s="3" t="inlineStr">
        <is>
          <t>Rural Health Care ($M)</t>
        </is>
      </c>
      <c r="G5" s="3" t="inlineStr">
        <is>
          <t>Total USF ($M)</t>
        </is>
      </c>
      <c r="H5" s="3" t="inlineStr">
        <is>
          <t>YoY Growth (%)</t>
        </is>
      </c>
      <c r="I5" s="3" t="inlineStr">
        <is>
          <t>Source</t>
        </is>
      </c>
    </row>
    <row r="6" ht="16" customHeight="1">
      <c r="B6" s="4" t="n">
        <v>1998</v>
      </c>
      <c r="C6" s="5" t="n">
        <v>1692.4</v>
      </c>
      <c r="D6" s="5" t="n">
        <v>467.3</v>
      </c>
      <c r="E6" s="5" t="n"/>
      <c r="F6" s="5" t="n"/>
      <c r="G6" s="6">
        <f>C6+D6+IF(ISNUMBER(E6),E6,0)+IF(ISNUMBER(F6),F6,0)</f>
        <v/>
      </c>
      <c r="H6" s="7" t="n"/>
      <c r="I6" s="2" t="inlineStr">
        <is>
          <t>USAC AR1999</t>
        </is>
      </c>
    </row>
    <row r="7" ht="16" customHeight="1">
      <c r="B7" s="4" t="n">
        <v>1999</v>
      </c>
      <c r="C7" s="5" t="n">
        <v>1723.9</v>
      </c>
      <c r="D7" s="5" t="n">
        <v>479.5</v>
      </c>
      <c r="E7" s="5" t="n"/>
      <c r="F7" s="5" t="n">
        <v>1.7</v>
      </c>
      <c r="G7" s="6">
        <f>C7+D7+IF(ISNUMBER(E7),E7,0)+IF(ISNUMBER(F7),F7,0)</f>
        <v/>
      </c>
      <c r="H7" s="8">
        <f>(G7-G6)/G6</f>
        <v/>
      </c>
      <c r="I7" s="2" t="inlineStr">
        <is>
          <t>USAC AR1999</t>
        </is>
      </c>
    </row>
    <row r="8" ht="16" customHeight="1">
      <c r="B8" s="4" t="n">
        <v>2000</v>
      </c>
      <c r="C8" s="5" t="n">
        <v>2241.2</v>
      </c>
      <c r="D8" s="5" t="n">
        <v>553.5</v>
      </c>
      <c r="E8" s="5" t="n">
        <v>2105.5</v>
      </c>
      <c r="F8" s="5" t="n">
        <v>4.8</v>
      </c>
      <c r="G8" s="6">
        <f>C8+D8+IF(ISNUMBER(E8),E8,0)+IF(ISNUMBER(F8),F8,0)</f>
        <v/>
      </c>
      <c r="H8" s="8">
        <f>(G8-G7)/G7</f>
        <v/>
      </c>
      <c r="I8" s="2" t="inlineStr">
        <is>
          <t>USAC AR2000</t>
        </is>
      </c>
    </row>
    <row r="9" ht="16" customHeight="1">
      <c r="B9" s="4" t="n">
        <v>2001</v>
      </c>
      <c r="C9" s="5" t="n">
        <v>2602.5</v>
      </c>
      <c r="D9" s="5" t="n">
        <v>584</v>
      </c>
      <c r="E9" s="5" t="n">
        <v>2067</v>
      </c>
      <c r="F9" s="5" t="n">
        <v>18.8</v>
      </c>
      <c r="G9" s="6">
        <f>C9+D9+IF(ISNUMBER(E9),E9,0)+IF(ISNUMBER(F9),F9,0)</f>
        <v/>
      </c>
      <c r="H9" s="8">
        <f>(G9-G8)/G8</f>
        <v/>
      </c>
      <c r="I9" s="2" t="inlineStr">
        <is>
          <t>USAC AR2001</t>
        </is>
      </c>
    </row>
    <row r="10" ht="16" customHeight="1">
      <c r="B10" s="4" t="n">
        <v>2002</v>
      </c>
      <c r="C10" s="5" t="n">
        <v>2978</v>
      </c>
      <c r="D10" s="5" t="n">
        <v>673.1</v>
      </c>
      <c r="E10" s="5" t="n">
        <v>1682.7</v>
      </c>
      <c r="F10" s="5" t="n">
        <v>16.4</v>
      </c>
      <c r="G10" s="6">
        <f>C10+D10+IF(ISNUMBER(E10),E10,0)+IF(ISNUMBER(F10),F10,0)</f>
        <v/>
      </c>
      <c r="H10" s="8">
        <f>(G10-G9)/G9</f>
        <v/>
      </c>
      <c r="I10" s="2" t="inlineStr">
        <is>
          <t>USAC AR2002</t>
        </is>
      </c>
    </row>
    <row r="11" ht="16" customHeight="1">
      <c r="B11" s="4" t="n">
        <v>2003</v>
      </c>
      <c r="C11" s="5" t="n">
        <v>3273.2</v>
      </c>
      <c r="D11" s="5" t="n">
        <v>713.1</v>
      </c>
      <c r="E11" s="5" t="n">
        <v>1644.1</v>
      </c>
      <c r="F11" s="5" t="n">
        <v>66.40000000000001</v>
      </c>
      <c r="G11" s="6">
        <f>C11+D11+IF(ISNUMBER(E11),E11,0)+IF(ISNUMBER(F11),F11,0)</f>
        <v/>
      </c>
      <c r="H11" s="8">
        <f>(G11-G10)/G10</f>
        <v/>
      </c>
      <c r="I11" s="2" t="inlineStr">
        <is>
          <t>USAC AR2003</t>
        </is>
      </c>
    </row>
    <row r="12" ht="16" customHeight="1">
      <c r="B12" s="4" t="n">
        <v>2004</v>
      </c>
      <c r="C12" s="5" t="n">
        <v>3487.6</v>
      </c>
      <c r="D12" s="5" t="n">
        <v>758.8</v>
      </c>
      <c r="E12" s="5" t="n">
        <v>1076.2</v>
      </c>
      <c r="F12" s="5" t="n">
        <v>1.1</v>
      </c>
      <c r="G12" s="6">
        <f>C12+D12+IF(ISNUMBER(E12),E12,0)+IF(ISNUMBER(F12),F12,0)</f>
        <v/>
      </c>
      <c r="H12" s="8">
        <f>(G12-G11)/G11</f>
        <v/>
      </c>
      <c r="I12" s="2" t="inlineStr">
        <is>
          <t>USAC AR2004</t>
        </is>
      </c>
    </row>
    <row r="13" ht="16" customHeight="1">
      <c r="B13" s="4" t="n">
        <v>2005</v>
      </c>
      <c r="C13" s="5" t="n">
        <v>3824.2</v>
      </c>
      <c r="D13" s="5" t="n">
        <v>808.6</v>
      </c>
      <c r="E13" s="5" t="n">
        <v>1861.7</v>
      </c>
      <c r="F13" s="5" t="n">
        <v>25.6</v>
      </c>
      <c r="G13" s="6">
        <f>C13+D13+IF(ISNUMBER(E13),E13,0)+IF(ISNUMBER(F13),F13,0)</f>
        <v/>
      </c>
      <c r="H13" s="8">
        <f>(G13-G12)/G12</f>
        <v/>
      </c>
      <c r="I13" s="2" t="inlineStr">
        <is>
          <t>USAC AR2005</t>
        </is>
      </c>
    </row>
    <row r="14" ht="16" customHeight="1">
      <c r="B14" s="4" t="n">
        <v>2006</v>
      </c>
      <c r="C14" s="5" t="n">
        <v>4096.3</v>
      </c>
      <c r="D14" s="5" t="n">
        <v>820.4</v>
      </c>
      <c r="E14" s="5" t="n">
        <v>1669.1</v>
      </c>
      <c r="F14" s="5" t="n">
        <v>40.6</v>
      </c>
      <c r="G14" s="6">
        <f>C14+D14+IF(ISNUMBER(E14),E14,0)+IF(ISNUMBER(F14),F14,0)</f>
        <v/>
      </c>
      <c r="H14" s="8">
        <f>(G14-G13)/G13</f>
        <v/>
      </c>
      <c r="I14" s="2" t="inlineStr">
        <is>
          <t>USAC AR2006</t>
        </is>
      </c>
    </row>
    <row r="15" ht="16" customHeight="1">
      <c r="B15" s="4" t="n">
        <v>2007</v>
      </c>
      <c r="C15" s="5" t="n">
        <v>4286.7</v>
      </c>
      <c r="D15" s="5" t="n">
        <v>822.8</v>
      </c>
      <c r="E15" s="5" t="n">
        <v>1808</v>
      </c>
      <c r="F15" s="5" t="n">
        <v>37.4</v>
      </c>
      <c r="G15" s="6">
        <f>C15+D15+IF(ISNUMBER(E15),E15,0)+IF(ISNUMBER(F15),F15,0)</f>
        <v/>
      </c>
      <c r="H15" s="8">
        <f>(G15-G14)/G14</f>
        <v/>
      </c>
      <c r="I15" s="2" t="inlineStr">
        <is>
          <t>USAC AR2007</t>
        </is>
      </c>
    </row>
    <row r="16" ht="16" customHeight="1">
      <c r="B16" s="4" t="n">
        <v>2008</v>
      </c>
      <c r="C16" s="5" t="n">
        <v>4480</v>
      </c>
      <c r="D16" s="5" t="n">
        <v>819.6</v>
      </c>
      <c r="E16" s="5" t="n">
        <v>1758</v>
      </c>
      <c r="F16" s="5" t="n">
        <v>49.1</v>
      </c>
      <c r="G16" s="6">
        <f>C16+D16+IF(ISNUMBER(E16),E16,0)+IF(ISNUMBER(F16),F16,0)</f>
        <v/>
      </c>
      <c r="H16" s="8">
        <f>(G16-G15)/G15</f>
        <v/>
      </c>
      <c r="I16" s="2" t="inlineStr">
        <is>
          <t>USAC AR2008</t>
        </is>
      </c>
    </row>
    <row r="17" ht="16" customHeight="1">
      <c r="B17" s="4" t="n">
        <v>2009</v>
      </c>
      <c r="C17" s="5" t="n">
        <v>4138.1</v>
      </c>
      <c r="D17" s="5" t="n">
        <v>870.7</v>
      </c>
      <c r="E17" s="5" t="n">
        <v>2206</v>
      </c>
      <c r="F17" s="5" t="n">
        <v>70.3</v>
      </c>
      <c r="G17" s="6">
        <f>C17+D17+IF(ISNUMBER(E17),E17,0)+IF(ISNUMBER(F17),F17,0)</f>
        <v/>
      </c>
      <c r="H17" s="8">
        <f>(G17-G16)/G16</f>
        <v/>
      </c>
      <c r="I17" s="2" t="inlineStr">
        <is>
          <t>USAC AR2009</t>
        </is>
      </c>
    </row>
    <row r="18" ht="16" customHeight="1">
      <c r="B18" s="4" t="n">
        <v>2010</v>
      </c>
      <c r="C18" s="5" t="n">
        <v>4270</v>
      </c>
      <c r="D18" s="5" t="n">
        <v>1315.7</v>
      </c>
      <c r="E18" s="5" t="n">
        <v>2282.5</v>
      </c>
      <c r="F18" s="5" t="n">
        <v>86</v>
      </c>
      <c r="G18" s="6">
        <f>C18+D18+IF(ISNUMBER(E18),E18,0)+IF(ISNUMBER(F18),F18,0)</f>
        <v/>
      </c>
      <c r="H18" s="8">
        <f>(G18-G17)/G17</f>
        <v/>
      </c>
      <c r="I18" s="2" t="inlineStr">
        <is>
          <t>USAC AR2010</t>
        </is>
      </c>
    </row>
    <row r="19" ht="16" customHeight="1">
      <c r="B19" s="4" t="n">
        <v>2011</v>
      </c>
      <c r="C19" s="5" t="n">
        <v>4030</v>
      </c>
      <c r="D19" s="5" t="n">
        <v>1750</v>
      </c>
      <c r="E19" s="5" t="n">
        <v>2240</v>
      </c>
      <c r="F19" s="5" t="n">
        <v>81.5</v>
      </c>
      <c r="G19" s="6">
        <f>C19+D19+IF(ISNUMBER(E19),E19,0)+IF(ISNUMBER(F19),F19,0)</f>
        <v/>
      </c>
      <c r="H19" s="8">
        <f>(G19-G18)/G18</f>
        <v/>
      </c>
      <c r="I19" s="2" t="inlineStr">
        <is>
          <t>USAC AR2011</t>
        </is>
      </c>
    </row>
    <row r="20" ht="16" customHeight="1">
      <c r="B20" s="4" t="n">
        <v>2012</v>
      </c>
      <c r="C20" s="5" t="n">
        <v>4150</v>
      </c>
      <c r="D20" s="5" t="n">
        <v>2190</v>
      </c>
      <c r="E20" s="5" t="n">
        <v>2220</v>
      </c>
      <c r="F20" s="5" t="n">
        <v>155.2</v>
      </c>
      <c r="G20" s="6">
        <f>C20+D20+IF(ISNUMBER(E20),E20,0)+IF(ISNUMBER(F20),F20,0)</f>
        <v/>
      </c>
      <c r="H20" s="8">
        <f>(G20-G19)/G19</f>
        <v/>
      </c>
      <c r="I20" s="2" t="inlineStr">
        <is>
          <t>USAC AR2012</t>
        </is>
      </c>
    </row>
    <row r="21" ht="16" customHeight="1">
      <c r="B21" s="4" t="n">
        <v>2013</v>
      </c>
      <c r="C21" s="5" t="n">
        <v>4427</v>
      </c>
      <c r="D21" s="5" t="n">
        <v>1786.9</v>
      </c>
      <c r="E21" s="5" t="n">
        <v>2328</v>
      </c>
      <c r="F21" s="5" t="n">
        <v>230.3</v>
      </c>
      <c r="G21" s="6">
        <f>C21+D21+IF(ISNUMBER(E21),E21,0)+IF(ISNUMBER(F21),F21,0)</f>
        <v/>
      </c>
      <c r="H21" s="8">
        <f>(G21-G20)/G20</f>
        <v/>
      </c>
      <c r="I21" s="2" t="inlineStr">
        <is>
          <t>USAC AR/Lifeline xlsx</t>
        </is>
      </c>
    </row>
    <row r="22" ht="16" customHeight="1">
      <c r="B22" s="4" t="n">
        <v>2014</v>
      </c>
      <c r="C22" s="5" t="n">
        <v>4479</v>
      </c>
      <c r="D22" s="5" t="n">
        <v>1629.3</v>
      </c>
      <c r="E22" s="5" t="n">
        <v>2379</v>
      </c>
      <c r="F22" s="5" t="n">
        <v>237.8</v>
      </c>
      <c r="G22" s="6">
        <f>C22+D22+IF(ISNUMBER(E22),E22,0)+IF(ISNUMBER(F22),F22,0)</f>
        <v/>
      </c>
      <c r="H22" s="8">
        <f>(G22-G21)/G21</f>
        <v/>
      </c>
      <c r="I22" s="2" t="inlineStr">
        <is>
          <t>USAC AR/Lifeline xlsx</t>
        </is>
      </c>
    </row>
    <row r="23" ht="16" customHeight="1">
      <c r="B23" s="4" t="n">
        <v>2015</v>
      </c>
      <c r="C23" s="5" t="n">
        <v>4430</v>
      </c>
      <c r="D23" s="5" t="n">
        <v>1509.5</v>
      </c>
      <c r="E23" s="5" t="n">
        <v>2437</v>
      </c>
      <c r="F23" s="5" t="n">
        <v>299.2</v>
      </c>
      <c r="G23" s="6">
        <f>C23+D23+IF(ISNUMBER(E23),E23,0)+IF(ISNUMBER(F23),F23,0)</f>
        <v/>
      </c>
      <c r="H23" s="8">
        <f>(G23-G22)/G22</f>
        <v/>
      </c>
      <c r="I23" s="2" t="inlineStr">
        <is>
          <t>USAC AR/Lifeline xlsx</t>
        </is>
      </c>
    </row>
    <row r="24" ht="16" customHeight="1">
      <c r="B24" s="4" t="n">
        <v>2016</v>
      </c>
      <c r="C24" s="5" t="n">
        <v>4543</v>
      </c>
      <c r="D24" s="5" t="n">
        <v>1520.7</v>
      </c>
      <c r="E24" s="5" t="n">
        <v>1613</v>
      </c>
      <c r="F24" s="5" t="n">
        <v>452.1</v>
      </c>
      <c r="G24" s="6">
        <f>C24+D24+IF(ISNUMBER(E24),E24,0)+IF(ISNUMBER(F24),F24,0)</f>
        <v/>
      </c>
      <c r="H24" s="8">
        <f>(G24-G23)/G23</f>
        <v/>
      </c>
      <c r="I24" s="2" t="inlineStr">
        <is>
          <t>USAC AR/Lifeline xlsx</t>
        </is>
      </c>
    </row>
    <row r="25" ht="16" customHeight="1">
      <c r="B25" s="4" t="n">
        <v>2017</v>
      </c>
      <c r="C25" s="5" t="n">
        <v>4584</v>
      </c>
      <c r="D25" s="5" t="n">
        <v>1274.3</v>
      </c>
      <c r="E25" s="5" t="n">
        <v>1998</v>
      </c>
      <c r="F25" s="5" t="n">
        <v>543.2</v>
      </c>
      <c r="G25" s="6">
        <f>C25+D25+IF(ISNUMBER(E25),E25,0)+IF(ISNUMBER(F25),F25,0)</f>
        <v/>
      </c>
      <c r="H25" s="8">
        <f>(G25-G24)/G24</f>
        <v/>
      </c>
      <c r="I25" s="2" t="inlineStr">
        <is>
          <t>USAC AR/Lifeline xlsx</t>
        </is>
      </c>
    </row>
    <row r="26" ht="16" customHeight="1">
      <c r="B26" s="4" t="n">
        <v>2018</v>
      </c>
      <c r="C26" s="5" t="n">
        <v>4795</v>
      </c>
      <c r="D26" s="5" t="n">
        <v>1138.5</v>
      </c>
      <c r="E26" s="5" t="n">
        <v>1566</v>
      </c>
      <c r="F26" s="5" t="n">
        <v>626.5</v>
      </c>
      <c r="G26" s="6">
        <f>C26+D26+IF(ISNUMBER(E26),E26,0)+IF(ISNUMBER(F26),F26,0)</f>
        <v/>
      </c>
      <c r="H26" s="8">
        <f>(G26-G25)/G25</f>
        <v/>
      </c>
      <c r="I26" s="2" t="inlineStr">
        <is>
          <t>USAC AR/Lifeline xlsx</t>
        </is>
      </c>
    </row>
    <row r="27" ht="16" customHeight="1">
      <c r="B27" s="4" t="n">
        <v>2019</v>
      </c>
      <c r="C27" s="5" t="n">
        <v>5456</v>
      </c>
      <c r="D27" s="5" t="n">
        <v>947.4</v>
      </c>
      <c r="E27" s="5" t="n">
        <v>1688</v>
      </c>
      <c r="F27" s="5" t="n">
        <v>589.8</v>
      </c>
      <c r="G27" s="6">
        <f>C27+D27+IF(ISNUMBER(E27),E27,0)+IF(ISNUMBER(F27),F27,0)</f>
        <v/>
      </c>
      <c r="H27" s="8">
        <f>(G27-G26)/G26</f>
        <v/>
      </c>
      <c r="I27" s="2" t="inlineStr">
        <is>
          <t>USAC AR/Lifeline xlsx</t>
        </is>
      </c>
    </row>
    <row r="28" ht="16" customHeight="1">
      <c r="B28" s="4" t="n">
        <v>2020</v>
      </c>
      <c r="C28" s="5" t="n">
        <v>5063.3</v>
      </c>
      <c r="D28" s="5" t="n">
        <v>869.3</v>
      </c>
      <c r="E28" s="5" t="n">
        <v>2095.3</v>
      </c>
      <c r="F28" s="5" t="n">
        <v>251</v>
      </c>
      <c r="G28" s="6">
        <f>C28+D28+IF(ISNUMBER(E28),E28,0)+IF(ISNUMBER(F28),F28,0)</f>
        <v/>
      </c>
      <c r="H28" s="8">
        <f>(G28-G27)/G27</f>
        <v/>
      </c>
      <c r="I28" s="2" t="inlineStr">
        <is>
          <t>USAC AR/Lifeline xlsx</t>
        </is>
      </c>
    </row>
    <row r="29" ht="16" customHeight="1">
      <c r="B29" s="4" t="n">
        <v>2021</v>
      </c>
      <c r="C29" s="5" t="n">
        <v>5116.9</v>
      </c>
      <c r="D29" s="5" t="n">
        <v>762.8</v>
      </c>
      <c r="E29" s="5" t="n">
        <v>2156.3</v>
      </c>
      <c r="F29" s="5" t="n">
        <v>556.6</v>
      </c>
      <c r="G29" s="6">
        <f>C29+D29+IF(ISNUMBER(E29),E29,0)+IF(ISNUMBER(F29),F29,0)</f>
        <v/>
      </c>
      <c r="H29" s="8">
        <f>(G29-G28)/G28</f>
        <v/>
      </c>
      <c r="I29" s="2" t="inlineStr">
        <is>
          <t>USAC AR/Lifeline xlsx</t>
        </is>
      </c>
    </row>
    <row r="30" ht="16" customHeight="1">
      <c r="B30" s="4" t="n">
        <v>2022</v>
      </c>
      <c r="C30" s="5" t="n">
        <v>4249.2</v>
      </c>
      <c r="D30" s="5" t="n">
        <v>609.9</v>
      </c>
      <c r="E30" s="5" t="n">
        <v>2083.9</v>
      </c>
      <c r="F30" s="5" t="n">
        <v>496.9</v>
      </c>
      <c r="G30" s="6">
        <f>C30+D30+IF(ISNUMBER(E30),E30,0)+IF(ISNUMBER(F30),F30,0)</f>
        <v/>
      </c>
      <c r="H30" s="8">
        <f>(G30-G29)/G29</f>
        <v/>
      </c>
      <c r="I30" s="2" t="inlineStr">
        <is>
          <t>USAC 2024 AR</t>
        </is>
      </c>
    </row>
    <row r="32" ht="48" customHeight="1">
      <c r="B32" s="9" t="inlineStr">
        <is>
          <t>Notes: (1) Lifeline values 2013–2022 reflect USAC Lifeline Data &amp; Statistics xlsx (claimed support by support month/year). (2) E-Rate/S&amp;L and RHC values are calendar-year disbursements from USAC annual report program statistics. (3) 'Total USF' formula sums only available programs per year. (4) 1998–1999 E-Rate included in total via direct HC+LI+RHC.</t>
        </is>
      </c>
    </row>
    <row r="33" ht="16" customHeight="1">
      <c r="B33" s="10" t="inlineStr">
        <is>
          <t>Sources: USAC Annual Reports 1999–2024 (usac.org); USAC Lifeline Data &amp; Statistics xlsx (July 2024 edition). Generated: 2026-04-05</t>
        </is>
      </c>
    </row>
  </sheetData>
  <mergeCells count="4">
    <mergeCell ref="B32:I32"/>
    <mergeCell ref="B3:I3"/>
    <mergeCell ref="B2:I2"/>
    <mergeCell ref="B33:I3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2026-04-05T21:32:26Z</dcterms:created>
  <dcterms:modified xmlns:dcterms="http://purl.org/dc/terms/" xmlns:xsi="http://www.w3.org/2001/XMLSchema-instance" xsi:type="dcterms:W3CDTF">2026-04-05T21:32:26Z</dcterms:modified>
</cp:coreProperties>
</file>